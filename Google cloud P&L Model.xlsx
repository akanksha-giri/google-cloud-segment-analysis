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Google Cloud P&amp;L model" sheetId="1" r:id="rId1"/>
    <sheet name="raw data" sheetId="2" r:id="rId2"/>
  </sheets>
  <definedNames>
    <definedName name="_xlnm.Print_Area" localSheetId="0">'Google Cloud P&amp;L model'!$A$1:$A$1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/>
  <c r="E22"/>
  <c r="G22" s="1"/>
  <c r="E21"/>
  <c r="G21" s="1"/>
  <c r="E20"/>
  <c r="G20" s="1"/>
  <c r="D9"/>
  <c r="I13" l="1"/>
  <c r="H13"/>
  <c r="E17"/>
  <c r="F17"/>
  <c r="G17"/>
  <c r="D17"/>
  <c r="F14"/>
  <c r="G14"/>
  <c r="E14"/>
  <c r="D15"/>
  <c r="E9"/>
  <c r="E15" s="1"/>
  <c r="F9"/>
  <c r="F15" s="1"/>
  <c r="G9"/>
  <c r="G15" s="1"/>
  <c r="I15" l="1"/>
  <c r="I16"/>
  <c r="I17" s="1"/>
  <c r="I14"/>
  <c r="J15"/>
  <c r="J14"/>
  <c r="J16"/>
  <c r="J17" s="1"/>
  <c r="H15"/>
  <c r="H14"/>
  <c r="H16"/>
  <c r="H17" s="1"/>
  <c r="B19"/>
  <c r="B12"/>
  <c r="B8" l="1"/>
</calcChain>
</file>

<file path=xl/sharedStrings.xml><?xml version="1.0" encoding="utf-8"?>
<sst xmlns="http://schemas.openxmlformats.org/spreadsheetml/2006/main" count="43" uniqueCount="30">
  <si>
    <t>Google Cloud | Q2 2025 - Q4 2026E</t>
  </si>
  <si>
    <t>USD (millions)</t>
  </si>
  <si>
    <t>Q2 2025</t>
  </si>
  <si>
    <t>Q3 2025</t>
  </si>
  <si>
    <t>Q4 2025</t>
  </si>
  <si>
    <t>Q1 2026</t>
  </si>
  <si>
    <t>Q2 2026E</t>
  </si>
  <si>
    <t>Q3 2026E</t>
  </si>
  <si>
    <t>Q4 2026E</t>
  </si>
  <si>
    <t>#</t>
  </si>
  <si>
    <t>Revenue Growth Rate (YoY)</t>
  </si>
  <si>
    <t>Operating Margin %</t>
  </si>
  <si>
    <t>-</t>
  </si>
  <si>
    <t>Revenue</t>
  </si>
  <si>
    <t>QoQ Growth %</t>
  </si>
  <si>
    <t>N/A</t>
  </si>
  <si>
    <t>YoY Growth %</t>
  </si>
  <si>
    <t>Operating Income</t>
  </si>
  <si>
    <t>YOY Growth</t>
  </si>
  <si>
    <t>Q4 2026E Revenue</t>
  </si>
  <si>
    <t>Q4 2026E Operating Income</t>
  </si>
  <si>
    <t>Bear</t>
  </si>
  <si>
    <t>Base</t>
  </si>
  <si>
    <t>Bull</t>
  </si>
  <si>
    <t>Analyst Note</t>
  </si>
  <si>
    <t xml:space="preserve">        Source: Alphabet Q2 2025 -Q1 2026 Earnings Release, SEC Filings | Model by Akanksha Giri</t>
  </si>
  <si>
    <t>Q2 2024</t>
  </si>
  <si>
    <t>Q3 2024</t>
  </si>
  <si>
    <t>Q4 2024</t>
  </si>
  <si>
    <t>Q1 2025</t>
  </si>
</sst>
</file>

<file path=xl/styles.xml><?xml version="1.0" encoding="utf-8"?>
<styleSheet xmlns="http://schemas.openxmlformats.org/spreadsheetml/2006/main">
  <numFmts count="3">
    <numFmt numFmtId="164" formatCode="#,##0.0;\(#,##0.0\)"/>
    <numFmt numFmtId="165" formatCode="0.0%"/>
    <numFmt numFmtId="166" formatCode="0.0"/>
  </numFmts>
  <fonts count="7"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14"/>
      <color theme="1"/>
      <name val="Calibri"/>
      <family val="2"/>
    </font>
    <font>
      <i/>
      <sz val="10"/>
      <color theme="1" tint="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 applyAlignment="1"/>
    <xf numFmtId="0" fontId="0" fillId="0" borderId="0" xfId="0" applyBorder="1" applyAlignme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Font="1" applyAlignment="1">
      <alignment horizontal="right"/>
    </xf>
    <xf numFmtId="165" fontId="3" fillId="0" borderId="0" xfId="1" applyNumberFormat="1" applyFont="1"/>
    <xf numFmtId="3" fontId="4" fillId="0" borderId="0" xfId="0" applyNumberFormat="1" applyFont="1"/>
    <xf numFmtId="165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9" fontId="4" fillId="0" borderId="0" xfId="1" applyNumberFormat="1" applyFont="1"/>
    <xf numFmtId="164" fontId="0" fillId="0" borderId="0" xfId="0" applyNumberFormat="1" applyAlignment="1">
      <alignment horizontal="right"/>
    </xf>
    <xf numFmtId="9" fontId="4" fillId="0" borderId="0" xfId="0" applyNumberFormat="1" applyFont="1"/>
    <xf numFmtId="165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166" fontId="0" fillId="0" borderId="0" xfId="0" applyNumberFormat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6" fillId="0" borderId="2" xfId="0" applyFont="1" applyBorder="1" applyAlignment="1"/>
    <xf numFmtId="0" fontId="6" fillId="0" borderId="0" xfId="0" applyFont="1" applyAlignment="1"/>
    <xf numFmtId="0" fontId="2" fillId="3" borderId="0" xfId="0" applyFont="1" applyFill="1" applyAlignment="1">
      <alignment horizontal="center"/>
    </xf>
    <xf numFmtId="0" fontId="5" fillId="0" borderId="2" xfId="0" applyFont="1" applyBorder="1" applyAlignment="1"/>
    <xf numFmtId="0" fontId="5" fillId="0" borderId="0" xfId="0" applyFont="1" applyBorder="1" applyAlignment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Cloud Revenue &amp; Operating Income Forecast (USD Millions)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'Google Cloud P&amp;L model'!$B$13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cat>
            <c:strRef>
              <c:f>'Google Cloud P&amp;L model'!$C$6:$J$6</c:f>
              <c:strCache>
                <c:ptCount val="8"/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2026E</c:v>
                </c:pt>
                <c:pt idx="6">
                  <c:v>Q3 2026E</c:v>
                </c:pt>
                <c:pt idx="7">
                  <c:v>Q4 2026E</c:v>
                </c:pt>
              </c:strCache>
            </c:strRef>
          </c:cat>
          <c:val>
            <c:numRef>
              <c:f>'Google Cloud P&amp;L model'!$C$13:$J$13</c:f>
              <c:numCache>
                <c:formatCode>#,##0.0;\(#,##0.0\)</c:formatCode>
                <c:ptCount val="8"/>
                <c:pt idx="1">
                  <c:v>13624</c:v>
                </c:pt>
                <c:pt idx="2">
                  <c:v>15157</c:v>
                </c:pt>
                <c:pt idx="3">
                  <c:v>17664</c:v>
                </c:pt>
                <c:pt idx="4">
                  <c:v>20028</c:v>
                </c:pt>
                <c:pt idx="5">
                  <c:v>21798.400000000001</c:v>
                </c:pt>
                <c:pt idx="6">
                  <c:v>23493.350000000002</c:v>
                </c:pt>
                <c:pt idx="7">
                  <c:v>26496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C9-48F9-BC5B-6D8A449B8B47}"/>
            </c:ext>
          </c:extLst>
        </c:ser>
        <c:dLbls/>
        <c:axId val="152581632"/>
        <c:axId val="152583168"/>
      </c:barChart>
      <c:lineChart>
        <c:grouping val="standard"/>
        <c:ser>
          <c:idx val="1"/>
          <c:order val="1"/>
          <c:tx>
            <c:strRef>
              <c:f>'Google Cloud P&amp;L model'!$B$16</c:f>
              <c:strCache>
                <c:ptCount val="1"/>
                <c:pt idx="0">
                  <c:v>Operating Income</c:v>
                </c:pt>
              </c:strCache>
            </c:strRef>
          </c:tx>
          <c:spPr>
            <a:ln w="28575" cap="rnd">
              <a:solidFill>
                <a:srgbClr val="96363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'Google Cloud P&amp;L model'!$C$6:$J$6</c:f>
              <c:strCache>
                <c:ptCount val="8"/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  <c:pt idx="5">
                  <c:v>Q2 2026E</c:v>
                </c:pt>
                <c:pt idx="6">
                  <c:v>Q3 2026E</c:v>
                </c:pt>
                <c:pt idx="7">
                  <c:v>Q4 2026E</c:v>
                </c:pt>
              </c:strCache>
            </c:strRef>
          </c:cat>
          <c:val>
            <c:numRef>
              <c:f>'Google Cloud P&amp;L model'!$C$16:$J$16</c:f>
              <c:numCache>
                <c:formatCode>#,##0.0;\(#,##0.0\)</c:formatCode>
                <c:ptCount val="8"/>
                <c:pt idx="1">
                  <c:v>2826</c:v>
                </c:pt>
                <c:pt idx="2">
                  <c:v>3594</c:v>
                </c:pt>
                <c:pt idx="3">
                  <c:v>5313</c:v>
                </c:pt>
                <c:pt idx="4">
                  <c:v>6598</c:v>
                </c:pt>
                <c:pt idx="5" formatCode="0.0">
                  <c:v>7411.456000000001</c:v>
                </c:pt>
                <c:pt idx="6" formatCode="0.0">
                  <c:v>8222.6725000000006</c:v>
                </c:pt>
                <c:pt idx="7" formatCode="0.0">
                  <c:v>9538.56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C9-48F9-BC5B-6D8A449B8B47}"/>
            </c:ext>
          </c:extLst>
        </c:ser>
        <c:dLbls/>
        <c:marker val="1"/>
        <c:axId val="152606976"/>
        <c:axId val="152605440"/>
      </c:lineChart>
      <c:catAx>
        <c:axId val="15258163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3168"/>
        <c:crosses val="autoZero"/>
        <c:auto val="1"/>
        <c:lblAlgn val="ctr"/>
        <c:lblOffset val="100"/>
      </c:catAx>
      <c:valAx>
        <c:axId val="152583168"/>
        <c:scaling>
          <c:orientation val="minMax"/>
        </c:scaling>
        <c:axPos val="l"/>
        <c:numFmt formatCode="&quot;$&quot;#,##0_);\(&quot;$&quot;#,##0\)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1632"/>
        <c:crosses val="autoZero"/>
        <c:crossBetween val="between"/>
      </c:valAx>
      <c:valAx>
        <c:axId val="152605440"/>
        <c:scaling>
          <c:orientation val="minMax"/>
        </c:scaling>
        <c:axPos val="r"/>
        <c:numFmt formatCode="&quot;$&quot;#,##0_);\(&quot;$&quot;#,##0\)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6976"/>
        <c:crosses val="max"/>
        <c:crossBetween val="between"/>
      </c:valAx>
      <c:catAx>
        <c:axId val="152606976"/>
        <c:scaling>
          <c:orientation val="minMax"/>
        </c:scaling>
        <c:delete val="1"/>
        <c:axPos val="b"/>
        <c:numFmt formatCode="General" sourceLinked="1"/>
        <c:tickLblPos val="nextTo"/>
        <c:crossAx val="15260544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6</xdr:row>
      <xdr:rowOff>180975</xdr:rowOff>
    </xdr:from>
    <xdr:to>
      <xdr:col>16</xdr:col>
      <xdr:colOff>571500</xdr:colOff>
      <xdr:row>21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2CFB1FCA-1438-313A-6E44-4446AAD1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771525</xdr:colOff>
      <xdr:row>8</xdr:row>
      <xdr:rowOff>38100</xdr:rowOff>
    </xdr:from>
    <xdr:to>
      <xdr:col>14</xdr:col>
      <xdr:colOff>514350</xdr:colOff>
      <xdr:row>9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A4E9FAE-FF78-B880-D2D2-CFDC37CA40C9}"/>
            </a:ext>
            <a:ext uri="{147F2762-F138-4A5C-976F-8EAC2B608ADB}">
              <a16:predDERef xmlns:a16="http://schemas.microsoft.com/office/drawing/2014/main" xmlns="" pred="{2CFB1FCA-1438-313A-6E44-4446AAD11156}"/>
            </a:ext>
          </a:extLst>
        </xdr:cNvPr>
        <xdr:cNvSpPr txBox="1"/>
      </xdr:nvSpPr>
      <xdr:spPr>
        <a:xfrm>
          <a:off x="10858500" y="1609725"/>
          <a:ext cx="1438275" cy="2571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i="1">
              <a:solidFill>
                <a:schemeClr val="bg1">
                  <a:lumMod val="75000"/>
                </a:schemeClr>
              </a:solidFill>
              <a:latin typeface="+mn-lt"/>
              <a:ea typeface="+mn-lt"/>
              <a:cs typeface="+mn-lt"/>
            </a:rPr>
            <a:t>Q2 2025 - Q4 2026E</a:t>
          </a:r>
        </a:p>
      </xdr:txBody>
    </xdr:sp>
    <xdr:clientData/>
  </xdr:twoCellAnchor>
  <xdr:twoCellAnchor>
    <xdr:from>
      <xdr:col>1</xdr:col>
      <xdr:colOff>47625</xdr:colOff>
      <xdr:row>26</xdr:row>
      <xdr:rowOff>9525</xdr:rowOff>
    </xdr:from>
    <xdr:to>
      <xdr:col>8</xdr:col>
      <xdr:colOff>476250</xdr:colOff>
      <xdr:row>37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BB9EA65-78BD-CA91-6BF7-A950890D2265}"/>
            </a:ext>
            <a:ext uri="{147F2762-F138-4A5C-976F-8EAC2B608ADB}">
              <a16:predDERef xmlns:a16="http://schemas.microsoft.com/office/drawing/2014/main" xmlns="" pred="{1A4E9FAE-FF78-B880-D2D2-CFDC37CA40C9}"/>
            </a:ext>
          </a:extLst>
        </xdr:cNvPr>
        <xdr:cNvSpPr txBox="1"/>
      </xdr:nvSpPr>
      <xdr:spPr>
        <a:xfrm>
          <a:off x="200025" y="5581650"/>
          <a:ext cx="7239000" cy="2133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Google Cloud delivered a fundamental profitability inflection over four quarters. Revenue grew 63% year-over-year to $20.0B in Q1 2026, while operating margin nearly doubled from 17.8% to 32.9% — signaling strong operating leverage as AI demand scales faster than infrastructure costs.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For the first time in Q1 2026, enterprise AI solutions became Cloud's primary growth driver, with GenAI-based revenue growing nearly 800% year-over-year. Gemini Enterprise paid monthly active users grew 40% quarter-over-quarter, positioning Google Cloud as a strategic AI partner rather than a compute provider.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My base case projects Q4 2026 revenue of $26.5B at 50% YoY growth and 36% margin. Bear case (30% growth) assumes macro-driven slowdown or AWS/Azure competition. Bull case (70%) assumes continued AI infrastructure acceleration.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Key metric to watch: margin expansion above 33% alongside revenue growth above 50%. Any divergence signals infrastructure investment pressure.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D38"/>
  <sheetViews>
    <sheetView showGridLines="0" tabSelected="1" zoomScale="85" zoomScaleNormal="85" workbookViewId="0">
      <pane ySplit="6" topLeftCell="A7" activePane="bottomLeft" state="frozen"/>
      <selection pane="bottomLeft" activeCell="L3" sqref="L3"/>
    </sheetView>
  </sheetViews>
  <sheetFormatPr defaultColWidth="12.7109375" defaultRowHeight="15" outlineLevelRow="1"/>
  <cols>
    <col min="1" max="1" width="2.28515625" style="1" customWidth="1"/>
    <col min="2" max="2" width="36.5703125" bestFit="1" customWidth="1"/>
    <col min="3" max="3" width="12" bestFit="1" customWidth="1"/>
    <col min="4" max="10" width="10.7109375" customWidth="1"/>
  </cols>
  <sheetData>
    <row r="4" spans="1:10">
      <c r="B4" s="2"/>
      <c r="C4" s="3"/>
    </row>
    <row r="5" spans="1:10" ht="18.75">
      <c r="B5" s="27" t="s">
        <v>0</v>
      </c>
      <c r="C5" s="28"/>
    </row>
    <row r="6" spans="1:10">
      <c r="B6" s="4" t="s">
        <v>1</v>
      </c>
      <c r="C6" s="4"/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</row>
    <row r="8" spans="1:10">
      <c r="A8" s="1" t="s">
        <v>9</v>
      </c>
      <c r="B8" s="21" t="str">
        <f>" Assumptions "</f>
        <v xml:space="preserve"> Assumptions </v>
      </c>
      <c r="C8" s="21"/>
      <c r="D8" s="22"/>
      <c r="E8" s="22"/>
      <c r="F8" s="22"/>
      <c r="G8" s="22"/>
      <c r="H8" s="22"/>
      <c r="I8" s="22"/>
      <c r="J8" s="22"/>
    </row>
    <row r="9" spans="1:10">
      <c r="B9" t="s">
        <v>10</v>
      </c>
      <c r="D9" s="9">
        <f>(D13-'raw data'!B4)/'raw data'!B4</f>
        <v>0.31671015753358461</v>
      </c>
      <c r="E9" s="9">
        <f>(E13-'raw data'!C4)/'raw data'!C4</f>
        <v>0.33506562142165064</v>
      </c>
      <c r="F9" s="9">
        <f>(F13-'raw data'!D4)/'raw data'!D4</f>
        <v>0.47754077791718946</v>
      </c>
      <c r="G9" s="9">
        <f>(G13-'raw data'!E4)/'raw data'!E4</f>
        <v>0.63360522022838495</v>
      </c>
      <c r="H9" s="13">
        <v>0.6</v>
      </c>
      <c r="I9" s="13">
        <v>0.55000000000000004</v>
      </c>
      <c r="J9" s="13">
        <v>0.5</v>
      </c>
    </row>
    <row r="10" spans="1:10">
      <c r="B10" t="s">
        <v>11</v>
      </c>
      <c r="D10" s="16" t="s">
        <v>12</v>
      </c>
      <c r="E10" s="16" t="s">
        <v>12</v>
      </c>
      <c r="F10" s="16" t="s">
        <v>12</v>
      </c>
      <c r="G10" s="16" t="s">
        <v>12</v>
      </c>
      <c r="H10" s="15">
        <v>0.34</v>
      </c>
      <c r="I10" s="15">
        <v>0.35</v>
      </c>
      <c r="J10" s="15">
        <v>0.36</v>
      </c>
    </row>
    <row r="12" spans="1:10">
      <c r="A12" s="1" t="s">
        <v>9</v>
      </c>
      <c r="B12" s="21" t="str">
        <f xml:space="preserve"> " P&amp;L Model "</f>
        <v xml:space="preserve"> P&amp;L Model </v>
      </c>
      <c r="C12" s="21"/>
      <c r="D12" s="22"/>
      <c r="E12" s="22"/>
      <c r="F12" s="22"/>
      <c r="G12" s="22"/>
      <c r="H12" s="22"/>
      <c r="I12" s="22"/>
      <c r="J12" s="22"/>
    </row>
    <row r="13" spans="1:10">
      <c r="B13" t="s">
        <v>13</v>
      </c>
      <c r="D13" s="6">
        <v>13624</v>
      </c>
      <c r="E13" s="6">
        <v>15157</v>
      </c>
      <c r="F13" s="6">
        <v>17664</v>
      </c>
      <c r="G13" s="6">
        <v>20028</v>
      </c>
      <c r="H13" s="14">
        <f>D13*(1+H9)</f>
        <v>21798.400000000001</v>
      </c>
      <c r="I13" s="14">
        <f>E13*(1+I9)</f>
        <v>23493.350000000002</v>
      </c>
      <c r="J13" s="14">
        <f>F13*(1+J9)</f>
        <v>26496</v>
      </c>
    </row>
    <row r="14" spans="1:10">
      <c r="B14" t="s">
        <v>14</v>
      </c>
      <c r="D14" s="7" t="s">
        <v>15</v>
      </c>
      <c r="E14" s="12">
        <f>(E13-D13)/D13</f>
        <v>0.11252201996476806</v>
      </c>
      <c r="F14" s="12">
        <f>(F13-E13)/E13</f>
        <v>0.165402124430956</v>
      </c>
      <c r="G14" s="12">
        <f>(G13-F13)/F13</f>
        <v>0.13383152173913043</v>
      </c>
      <c r="H14" s="12">
        <f>(H13/G13)-1</f>
        <v>8.8396245256640693E-2</v>
      </c>
      <c r="I14" s="12">
        <f>(I13/H13)-1</f>
        <v>7.7755706840869188E-2</v>
      </c>
      <c r="J14" s="12">
        <f>(J13/I13)-1</f>
        <v>0.12780850751382822</v>
      </c>
    </row>
    <row r="15" spans="1:10">
      <c r="B15" t="s">
        <v>16</v>
      </c>
      <c r="D15" s="8">
        <f>D9</f>
        <v>0.31671015753358461</v>
      </c>
      <c r="E15" s="8">
        <f>E9</f>
        <v>0.33506562142165064</v>
      </c>
      <c r="F15" s="8">
        <f>F9</f>
        <v>0.47754077791718946</v>
      </c>
      <c r="G15" s="8">
        <f>G9</f>
        <v>0.63360522022838495</v>
      </c>
      <c r="H15" s="12">
        <f>(H13/D13)-1</f>
        <v>0.60000000000000009</v>
      </c>
      <c r="I15" s="12">
        <f t="shared" ref="I15:J15" si="0">(I13/E13)-1</f>
        <v>0.55000000000000004</v>
      </c>
      <c r="J15" s="12">
        <f t="shared" si="0"/>
        <v>0.5</v>
      </c>
    </row>
    <row r="16" spans="1:10">
      <c r="B16" t="s">
        <v>17</v>
      </c>
      <c r="D16" s="6">
        <v>2826</v>
      </c>
      <c r="E16" s="6">
        <v>3594</v>
      </c>
      <c r="F16" s="6">
        <v>5313</v>
      </c>
      <c r="G16" s="6">
        <v>6598</v>
      </c>
      <c r="H16" s="17">
        <f>H13*H10</f>
        <v>7411.456000000001</v>
      </c>
      <c r="I16" s="17">
        <f>I13*I10</f>
        <v>8222.6725000000006</v>
      </c>
      <c r="J16" s="17">
        <f>J13*J10</f>
        <v>9538.56</v>
      </c>
    </row>
    <row r="17" spans="1:30">
      <c r="B17" t="s">
        <v>11</v>
      </c>
      <c r="D17" s="11">
        <f t="shared" ref="D17:J17" si="1">D16/D13</f>
        <v>0.20742806811509101</v>
      </c>
      <c r="E17" s="11">
        <f t="shared" si="1"/>
        <v>0.23711816322491258</v>
      </c>
      <c r="F17" s="11">
        <f t="shared" si="1"/>
        <v>0.30078125</v>
      </c>
      <c r="G17" s="11">
        <f t="shared" si="1"/>
        <v>0.32943878570002</v>
      </c>
      <c r="H17" s="12">
        <f t="shared" si="1"/>
        <v>0.34</v>
      </c>
      <c r="I17" s="12">
        <f t="shared" si="1"/>
        <v>0.35</v>
      </c>
      <c r="J17" s="12">
        <f t="shared" si="1"/>
        <v>0.36</v>
      </c>
    </row>
    <row r="19" spans="1:30">
      <c r="A19" s="1" t="s">
        <v>9</v>
      </c>
      <c r="B19" s="21" t="str">
        <f>"Scenarios "</f>
        <v xml:space="preserve">Scenarios </v>
      </c>
      <c r="C19" s="23" t="s">
        <v>18</v>
      </c>
      <c r="D19" s="26" t="s">
        <v>19</v>
      </c>
      <c r="E19" s="26"/>
      <c r="F19" s="26" t="s">
        <v>20</v>
      </c>
      <c r="G19" s="26"/>
      <c r="H19" s="26"/>
      <c r="I19" s="22"/>
      <c r="J19" s="22"/>
    </row>
    <row r="20" spans="1:30">
      <c r="B20" t="s">
        <v>21</v>
      </c>
      <c r="C20" s="15">
        <v>0.3</v>
      </c>
      <c r="D20" s="18"/>
      <c r="E20" s="19">
        <f>F13*(1+C20)</f>
        <v>22963.200000000001</v>
      </c>
      <c r="G20" s="20">
        <f>E20*$J$10</f>
        <v>8266.7520000000004</v>
      </c>
    </row>
    <row r="21" spans="1:30">
      <c r="B21" t="s">
        <v>22</v>
      </c>
      <c r="C21" s="15">
        <v>0.5</v>
      </c>
      <c r="D21" s="18"/>
      <c r="E21" s="19">
        <f>F13*(1+C21)</f>
        <v>26496</v>
      </c>
      <c r="G21" s="20">
        <f>E21*$J$10</f>
        <v>9538.56</v>
      </c>
    </row>
    <row r="22" spans="1:30">
      <c r="B22" t="s">
        <v>23</v>
      </c>
      <c r="C22" s="15">
        <v>0.7</v>
      </c>
      <c r="D22" s="18"/>
      <c r="E22" s="19">
        <f>F13*(1+C22)</f>
        <v>30028.799999999999</v>
      </c>
      <c r="G22" s="20">
        <f>E22*$J$10</f>
        <v>10810.367999999999</v>
      </c>
    </row>
    <row r="24" spans="1:30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1" t="s">
        <v>9</v>
      </c>
      <c r="B26" s="21" t="s">
        <v>24</v>
      </c>
      <c r="C26" s="21"/>
      <c r="D26" s="21"/>
      <c r="E26" s="21"/>
      <c r="F26" s="21"/>
      <c r="G26" s="21"/>
      <c r="H26" s="21"/>
      <c r="I26" s="21"/>
      <c r="J26" s="21"/>
    </row>
    <row r="27" spans="1:30" outlineLevel="1"/>
    <row r="28" spans="1:30" outlineLevel="1"/>
    <row r="29" spans="1:30" outlineLevel="1"/>
    <row r="30" spans="1:30" outlineLevel="1"/>
    <row r="31" spans="1:30" outlineLevel="1"/>
    <row r="32" spans="1:30" outlineLevel="1"/>
    <row r="33" spans="2:6" outlineLevel="1"/>
    <row r="34" spans="2:6" outlineLevel="1">
      <c r="B34" s="29"/>
      <c r="C34" s="30"/>
      <c r="D34" s="30"/>
      <c r="E34" s="30"/>
    </row>
    <row r="35" spans="2:6" outlineLevel="1">
      <c r="B35" s="29"/>
      <c r="C35" s="30"/>
      <c r="D35" s="30"/>
      <c r="E35" s="30"/>
    </row>
    <row r="36" spans="2:6" outlineLevel="1">
      <c r="B36" s="29"/>
      <c r="C36" s="30"/>
      <c r="D36" s="30"/>
      <c r="E36" s="30"/>
    </row>
    <row r="37" spans="2:6" outlineLevel="1">
      <c r="B37" s="29"/>
      <c r="C37" s="30"/>
      <c r="D37" s="30"/>
      <c r="E37" s="30"/>
    </row>
    <row r="38" spans="2:6">
      <c r="B38" s="24" t="s">
        <v>25</v>
      </c>
      <c r="C38" s="25"/>
      <c r="D38" s="25"/>
      <c r="E38" s="25"/>
      <c r="F38" s="18"/>
    </row>
  </sheetData>
  <mergeCells count="7">
    <mergeCell ref="D19:E19"/>
    <mergeCell ref="F19:H19"/>
    <mergeCell ref="B5:C5"/>
    <mergeCell ref="B37:E37"/>
    <mergeCell ref="B34:E34"/>
    <mergeCell ref="B35:E35"/>
    <mergeCell ref="B36:E36"/>
  </mergeCells>
  <pageMargins left="0.7" right="0.7" top="0.75" bottom="0.75" header="0.3" footer="0.3"/>
  <pageSetup paperSize="9" fitToWidth="0" fitToHeight="0" orientation="landscape" horizontalDpi="300" verticalDpi="300" r:id="rId1"/>
  <rowBreaks count="1" manualBreakCount="1">
    <brk id="24" max="16383" man="1"/>
  </rowBreaks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5"/>
  <sheetViews>
    <sheetView workbookViewId="0">
      <selection activeCell="G7" sqref="G7"/>
    </sheetView>
  </sheetViews>
  <sheetFormatPr defaultRowHeight="15"/>
  <cols>
    <col min="1" max="1" width="17" bestFit="1" customWidth="1"/>
  </cols>
  <sheetData>
    <row r="3" spans="1:9">
      <c r="B3" t="s">
        <v>26</v>
      </c>
      <c r="C3" t="s">
        <v>27</v>
      </c>
      <c r="D3" t="s">
        <v>28</v>
      </c>
      <c r="E3" t="s">
        <v>29</v>
      </c>
      <c r="F3" t="s">
        <v>2</v>
      </c>
      <c r="G3" t="s">
        <v>3</v>
      </c>
      <c r="H3" t="s">
        <v>4</v>
      </c>
      <c r="I3" t="s">
        <v>5</v>
      </c>
    </row>
    <row r="4" spans="1:9">
      <c r="A4" t="s">
        <v>13</v>
      </c>
      <c r="B4" s="10">
        <v>10347</v>
      </c>
      <c r="C4" s="10">
        <v>11353</v>
      </c>
      <c r="D4" s="10">
        <v>11955</v>
      </c>
      <c r="E4" s="10">
        <v>12260</v>
      </c>
      <c r="F4" s="10">
        <v>13624</v>
      </c>
      <c r="G4" s="10">
        <v>15157</v>
      </c>
      <c r="H4" s="10">
        <v>17664</v>
      </c>
      <c r="I4" s="10">
        <v>20028</v>
      </c>
    </row>
    <row r="5" spans="1:9">
      <c r="A5" t="s">
        <v>17</v>
      </c>
      <c r="B5" s="10">
        <v>1172</v>
      </c>
      <c r="C5" s="10">
        <v>1947</v>
      </c>
      <c r="D5" s="10">
        <v>2093</v>
      </c>
      <c r="E5" s="10">
        <v>2177</v>
      </c>
      <c r="F5" s="10">
        <v>2826</v>
      </c>
      <c r="G5" s="10">
        <v>3594</v>
      </c>
      <c r="H5" s="10">
        <v>5313</v>
      </c>
      <c r="I5" s="10">
        <v>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Google Cloud P&amp;L model</vt:lpstr>
      <vt:lpstr>raw data</vt:lpstr>
      <vt:lpstr>'Google Cloud P&amp;L model'!Print_Area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Akanksha Giri</dc:creator>
  <cp:keywords/>
  <dc:description/>
  <cp:lastModifiedBy>Akanksha Giri</cp:lastModifiedBy>
  <cp:revision/>
  <dcterms:created xsi:type="dcterms:W3CDTF">2026-05-14T13:52:49Z</dcterms:created>
  <dcterms:modified xsi:type="dcterms:W3CDTF">2026-06-07T16:30:06Z</dcterms:modified>
  <cp:category/>
  <cp:contentStatus/>
</cp:coreProperties>
</file>